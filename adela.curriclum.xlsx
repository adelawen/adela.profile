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a37e225574f49b1/University experience/microsoft internship/"/>
    </mc:Choice>
  </mc:AlternateContent>
  <xr:revisionPtr revIDLastSave="10" documentId="13_ncr:1_{D9D9D0A2-6730-49F7-8557-D06F61926A63}" xr6:coauthVersionLast="47" xr6:coauthVersionMax="47" xr10:uidLastSave="{49119E3D-E776-47C2-8703-20A25A2CF854}"/>
  <bookViews>
    <workbookView xWindow="-98" yWindow="-98" windowWidth="21795" windowHeight="13875" xr2:uid="{07843A3A-22EA-4541-86DA-89B211165CC5}"/>
  </bookViews>
  <sheets>
    <sheet name="課表" sheetId="1" r:id="rId1"/>
    <sheet name="課程詳情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E26" i="1"/>
  <c r="K19" i="1"/>
  <c r="F25" i="1"/>
  <c r="E25" i="1"/>
  <c r="D25" i="1"/>
  <c r="G24" i="1" s="1"/>
  <c r="C25" i="1"/>
  <c r="B25" i="1"/>
  <c r="F24" i="1"/>
  <c r="L20" i="1"/>
  <c r="E24" i="1"/>
  <c r="L19" i="1"/>
  <c r="D24" i="1"/>
  <c r="D27" i="1" s="1"/>
  <c r="L18" i="1"/>
  <c r="C24" i="1"/>
  <c r="C27" i="1"/>
  <c r="B24" i="1"/>
  <c r="B26" i="1"/>
  <c r="K16" i="1"/>
  <c r="G13" i="1"/>
  <c r="G12" i="1"/>
  <c r="G11" i="1"/>
  <c r="G10" i="1"/>
  <c r="G9" i="1"/>
  <c r="G8" i="1"/>
  <c r="G7" i="1"/>
  <c r="G6" i="1"/>
  <c r="G5" i="1"/>
  <c r="G4" i="1"/>
  <c r="J16" i="1"/>
  <c r="B27" i="1"/>
  <c r="L16" i="1"/>
  <c r="E27" i="1"/>
  <c r="J19" i="1"/>
  <c r="J17" i="1"/>
  <c r="C26" i="1"/>
  <c r="K17" i="1"/>
  <c r="L17" i="1"/>
  <c r="F26" i="1"/>
  <c r="K20" i="1"/>
  <c r="F27" i="1"/>
  <c r="J20" i="1"/>
  <c r="D26" i="1" l="1"/>
  <c r="K18" i="1" s="1"/>
  <c r="K21" i="1" s="1"/>
  <c r="L21" i="1" s="1"/>
  <c r="G27" i="1"/>
  <c r="G26" i="1"/>
  <c r="J18" i="1"/>
  <c r="J21" i="1" s="1"/>
  <c r="G25" i="1"/>
</calcChain>
</file>

<file path=xl/sharedStrings.xml><?xml version="1.0" encoding="utf-8"?>
<sst xmlns="http://schemas.openxmlformats.org/spreadsheetml/2006/main" count="127" uniqueCount="87">
  <si>
    <t>10:10-11:00</t>
  </si>
  <si>
    <t>11:10-12:00</t>
  </si>
  <si>
    <t>12:10-13:00</t>
  </si>
  <si>
    <t>13:10-14:00</t>
  </si>
  <si>
    <t>14:10-15:00</t>
  </si>
  <si>
    <t>15:20-16:10</t>
  </si>
  <si>
    <t>16:20-17:10</t>
  </si>
  <si>
    <t>17:20-18:10</t>
  </si>
  <si>
    <t>系上選修</t>
  </si>
  <si>
    <t>系上必修</t>
  </si>
  <si>
    <t>通識課</t>
  </si>
  <si>
    <t>📅 114學年度第一學期課表 - 成大交管系大四</t>
  </si>
  <si>
    <t>點選課程查看詳細資訊 ➜</t>
  </si>
  <si>
    <t>時段</t>
  </si>
  <si>
    <t>星期一</t>
  </si>
  <si>
    <t>星期二</t>
  </si>
  <si>
    <t>星期三</t>
  </si>
  <si>
    <t>星期四</t>
  </si>
  <si>
    <t>星期五</t>
  </si>
  <si>
    <t>狀態</t>
  </si>
  <si>
    <t>08:00-08:50</t>
  </si>
  <si>
    <t>09:00-09:50</t>
  </si>
  <si>
    <t>課程分類</t>
  </si>
  <si>
    <t>📊 課程分類圖例</t>
  </si>
  <si>
    <t>空白</t>
  </si>
  <si>
    <t>可安排時間</t>
  </si>
  <si>
    <t>📈 可用時間彙總（可安排在微軟辦公室的時間）</t>
  </si>
  <si>
    <t>項目</t>
  </si>
  <si>
    <t>合計</t>
  </si>
  <si>
    <t>空閒節數</t>
  </si>
  <si>
    <t>上課節數</t>
  </si>
  <si>
    <t>可用時數</t>
  </si>
  <si>
    <t>空閒率</t>
  </si>
  <si>
    <t>📚 課程詳細資訊表</t>
  </si>
  <si>
    <t>💡 請在此表中填入每門課程的詳細資訊，連結欄位可直接貼上網址</t>
  </si>
  <si>
    <t>課程代碼</t>
  </si>
  <si>
    <t>課程名稱</t>
  </si>
  <si>
    <t>授課教師</t>
  </si>
  <si>
    <t>上課時間</t>
  </si>
  <si>
    <t>課程連結</t>
  </si>
  <si>
    <t>課程大綱連結</t>
  </si>
  <si>
    <t>課程內容摘要</t>
  </si>
  <si>
    <t>🔍 課程詳情面板</t>
  </si>
  <si>
    <t>請在下方輸入課程代碼查詢詳情</t>
  </si>
  <si>
    <t>查詢課程代碼:</t>
  </si>
  <si>
    <t>課程名稱:</t>
  </si>
  <si>
    <t>課程分類:</t>
  </si>
  <si>
    <t>授課教師:</t>
  </si>
  <si>
    <t>上課時間:</t>
  </si>
  <si>
    <t>課程連結:</t>
  </si>
  <si>
    <t>大綱連結:</t>
  </si>
  <si>
    <t>內容摘要:</t>
  </si>
  <si>
    <t>🏢 微軟辦公室可安排時段</t>
  </si>
  <si>
    <t>假設辦公時間: 09:00-18:00</t>
  </si>
  <si>
    <t>星期</t>
  </si>
  <si>
    <t>建議</t>
  </si>
  <si>
    <t>📊 本週總計</t>
  </si>
  <si>
    <t>📝 使用說明</t>
  </si>
  <si>
    <t>1️⃣ 在課表儲存格點擊下拉選單，選擇課程分類</t>
  </si>
  <si>
    <t>2️⃣ 到「課程詳情」工作表填入完整課程資訊</t>
  </si>
  <si>
    <t>3️⃣ 在K3輸入課程代碼，右側面板會顯示詳情</t>
  </si>
  <si>
    <t>4️⃣ 底部彙總表會自動計算可用時間</t>
  </si>
  <si>
    <t>5️⃣ 連結欄位可使用 Ctrl+K 插入超連結</t>
  </si>
  <si>
    <t>H5-161</t>
  </si>
  <si>
    <t>運輸安全</t>
  </si>
  <si>
    <t>傅強 教授</t>
  </si>
  <si>
    <t>週二 14:10-17:00</t>
  </si>
  <si>
    <t>課程大綱</t>
  </si>
  <si>
    <t>有期中考(20%)；期末考(20%)；三次分組作業與課堂報告各(20%)</t>
  </si>
  <si>
    <t>1141_H521600-選課的選項</t>
  </si>
  <si>
    <t>系上必修:運輸安全</t>
  </si>
  <si>
    <t>系上必修:交通流理論</t>
  </si>
  <si>
    <t>系外必選修</t>
  </si>
  <si>
    <t>林姿妤 教授</t>
  </si>
  <si>
    <t>Basic calculus will be used regularly.</t>
  </si>
  <si>
    <t>週二 09:00-12:00</t>
  </si>
  <si>
    <t>1141_D521300-選課的選項</t>
  </si>
  <si>
    <t>D5-161</t>
  </si>
  <si>
    <t>系外必選修:數理統計學</t>
  </si>
  <si>
    <t>數理統計學</t>
  </si>
  <si>
    <t>專題二</t>
  </si>
  <si>
    <t>李威勳 教授</t>
  </si>
  <si>
    <t>時間未定</t>
  </si>
  <si>
    <t>繼續執行國科會計畫，因主要為個人作業，故也可以線上會議執行每兩週一次的會報</t>
  </si>
  <si>
    <t>H5-166</t>
  </si>
  <si>
    <t>未啟用課程大綱</t>
  </si>
  <si>
    <t>系上選修:專題二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</si>
</sst>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8"/>
      <name val="Aptos Narrow"/>
      <family val="2"/>
      <charset val="136"/>
      <scheme val="minor"/>
    </font>
    <font>
      <u/>
      <sz val="11"/>
      <color rgb="FF0563C1"/>
      <name val="Aptos Narrow"/>
      <family val="2"/>
      <charset val="136"/>
      <scheme val="minor"/>
    </font>
    <font>
      <u/>
      <sz val="11"/>
      <color theme="10"/>
      <name val="Aptos Narrow"/>
      <family val="2"/>
      <charset val="136"/>
      <scheme val="minor"/>
    </font>
    <font>
      <b/>
      <sz val="20"/>
      <color rgb="FF1F4E79"/>
      <name val="Aptos Narrow"/>
      <family val="2"/>
      <charset val="136"/>
      <scheme val="minor"/>
    </font>
    <font>
      <sz val="20"/>
      <color theme="1"/>
      <name val="Aptos Narrow"/>
      <family val="2"/>
      <charset val="136"/>
      <scheme val="minor"/>
    </font>
    <font>
      <b/>
      <sz val="20"/>
      <color rgb="FFFFFFFF"/>
      <name val="Aptos Narrow"/>
      <family val="2"/>
      <charset val="136"/>
      <scheme val="minor"/>
    </font>
    <font>
      <i/>
      <sz val="20"/>
      <color rgb="FF5B9BD5"/>
      <name val="Aptos Narrow"/>
      <family val="2"/>
      <charset val="136"/>
      <scheme val="minor"/>
    </font>
    <font>
      <i/>
      <sz val="20"/>
      <color theme="1"/>
      <name val="Aptos Narrow"/>
      <family val="2"/>
      <charset val="136"/>
      <scheme val="minor"/>
    </font>
    <font>
      <sz val="20"/>
      <color rgb="FF808080"/>
      <name val="Aptos Narrow"/>
      <family val="2"/>
      <charset val="136"/>
      <scheme val="minor"/>
    </font>
    <font>
      <b/>
      <sz val="20"/>
      <color theme="1"/>
      <name val="Aptos Narrow"/>
      <family val="2"/>
      <charset val="136"/>
      <scheme val="minor"/>
    </font>
    <font>
      <b/>
      <i/>
      <sz val="20"/>
      <color theme="1"/>
      <name val="Aptos Narrow"/>
      <family val="2"/>
      <charset val="136"/>
      <scheme val="minor"/>
    </font>
    <font>
      <sz val="20"/>
      <color rgb="FF1F4E79"/>
      <name val="Aptos Narrow"/>
      <family val="2"/>
      <charset val="136"/>
      <scheme val="minor"/>
    </font>
    <font>
      <sz val="20"/>
      <color rgb="FF006100"/>
      <name val="Aptos Narrow"/>
      <family val="2"/>
      <charset val="136"/>
      <scheme val="minor"/>
    </font>
    <font>
      <sz val="20"/>
      <color rgb="FFC65911"/>
      <name val="Aptos Narrow"/>
      <family val="2"/>
      <charset val="136"/>
      <scheme val="minor"/>
    </font>
    <font>
      <sz val="20"/>
      <color rgb="FF806000"/>
      <name val="Aptos Narrow"/>
      <family val="2"/>
      <charset val="136"/>
      <scheme val="minor"/>
    </font>
    <font>
      <u/>
      <sz val="20"/>
      <color theme="10"/>
      <name val="Aptos Narrow"/>
      <family val="2"/>
      <charset val="136"/>
      <scheme val="minor"/>
    </font>
    <font>
      <u/>
      <sz val="20"/>
      <color rgb="FF0563C1"/>
      <name val="Aptos Narrow"/>
      <family val="2"/>
      <charset val="136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5" fillId="0" borderId="0" xfId="0" applyFont="1"/>
    <xf numFmtId="0" fontId="6" fillId="3" borderId="6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9" fillId="0" borderId="0" xfId="0" applyFont="1"/>
    <xf numFmtId="0" fontId="10" fillId="4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10" fillId="13" borderId="13" xfId="0" applyFont="1" applyFill="1" applyBorder="1"/>
    <xf numFmtId="0" fontId="10" fillId="13" borderId="14" xfId="0" applyFont="1" applyFill="1" applyBorder="1"/>
    <xf numFmtId="0" fontId="5" fillId="0" borderId="11" xfId="0" applyFont="1" applyBorder="1"/>
    <xf numFmtId="0" fontId="6" fillId="15" borderId="6" xfId="0" applyFont="1" applyFill="1" applyBorder="1" applyAlignment="1">
      <alignment horizontal="center"/>
    </xf>
    <xf numFmtId="0" fontId="12" fillId="5" borderId="6" xfId="0" applyFont="1" applyFill="1" applyBorder="1"/>
    <xf numFmtId="0" fontId="5" fillId="0" borderId="6" xfId="0" applyFont="1" applyBorder="1"/>
    <xf numFmtId="0" fontId="10" fillId="0" borderId="6" xfId="0" applyFont="1" applyBorder="1"/>
    <xf numFmtId="0" fontId="13" fillId="6" borderId="6" xfId="0" applyFont="1" applyFill="1" applyBorder="1"/>
    <xf numFmtId="0" fontId="14" fillId="7" borderId="6" xfId="0" applyFont="1" applyFill="1" applyBorder="1"/>
    <xf numFmtId="0" fontId="15" fillId="8" borderId="6" xfId="0" applyFont="1" applyFill="1" applyBorder="1"/>
    <xf numFmtId="0" fontId="9" fillId="9" borderId="6" xfId="0" applyFont="1" applyFill="1" applyBorder="1"/>
    <xf numFmtId="0" fontId="10" fillId="16" borderId="18" xfId="0" applyFont="1" applyFill="1" applyBorder="1"/>
    <xf numFmtId="0" fontId="10" fillId="16" borderId="0" xfId="0" applyFont="1" applyFill="1" applyAlignment="1">
      <alignment horizontal="center"/>
    </xf>
    <xf numFmtId="0" fontId="6" fillId="10" borderId="6" xfId="0" applyFont="1" applyFill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9" fontId="10" fillId="4" borderId="6" xfId="0" applyNumberFormat="1" applyFont="1" applyFill="1" applyBorder="1" applyAlignment="1">
      <alignment horizontal="center"/>
    </xf>
    <xf numFmtId="0" fontId="16" fillId="0" borderId="0" xfId="1" applyFont="1"/>
    <xf numFmtId="0" fontId="17" fillId="0" borderId="6" xfId="0" applyFont="1" applyBorder="1"/>
    <xf numFmtId="0" fontId="4" fillId="2" borderId="2" xfId="0" applyFont="1" applyFill="1" applyBorder="1" applyAlignment="1">
      <alignment horizontal="center"/>
    </xf>
    <xf numFmtId="0" fontId="5" fillId="0" borderId="5" xfId="0" applyFont="1" applyBorder="1"/>
    <xf numFmtId="0" fontId="5" fillId="0" borderId="2" xfId="0" applyFont="1" applyBorder="1"/>
    <xf numFmtId="0" fontId="5" fillId="0" borderId="9" xfId="0" applyFont="1" applyBorder="1"/>
    <xf numFmtId="0" fontId="5" fillId="0" borderId="0" xfId="0" applyFont="1"/>
    <xf numFmtId="0" fontId="5" fillId="0" borderId="16" xfId="0" applyFont="1" applyBorder="1"/>
    <xf numFmtId="0" fontId="5" fillId="0" borderId="11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6" fillId="14" borderId="0" xfId="0" applyFont="1" applyFill="1" applyAlignment="1">
      <alignment horizontal="center"/>
    </xf>
    <xf numFmtId="0" fontId="5" fillId="0" borderId="4" xfId="0" applyFont="1" applyBorder="1"/>
    <xf numFmtId="0" fontId="5" fillId="0" borderId="8" xfId="0" applyFont="1" applyBorder="1"/>
    <xf numFmtId="0" fontId="4" fillId="2" borderId="0" xfId="0" applyFont="1" applyFill="1" applyAlignment="1">
      <alignment horizontal="center"/>
    </xf>
    <xf numFmtId="0" fontId="7" fillId="0" borderId="0" xfId="0" applyFont="1"/>
    <xf numFmtId="0" fontId="10" fillId="4" borderId="0" xfId="0" applyFont="1" applyFill="1" applyAlignment="1">
      <alignment horizontal="center"/>
    </xf>
    <xf numFmtId="0" fontId="6" fillId="11" borderId="12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0" xfId="0" applyFont="1" applyFill="1"/>
    <xf numFmtId="0" fontId="8" fillId="2" borderId="16" xfId="0" applyFont="1" applyFill="1" applyBorder="1"/>
    <xf numFmtId="0" fontId="6" fillId="12" borderId="4" xfId="0" applyFont="1" applyFill="1" applyBorder="1" applyAlignment="1">
      <alignment horizontal="center"/>
    </xf>
    <xf numFmtId="0" fontId="6" fillId="12" borderId="16" xfId="0" applyFont="1" applyFill="1" applyBorder="1" applyAlignment="1">
      <alignment horizontal="center"/>
    </xf>
    <xf numFmtId="0" fontId="11" fillId="4" borderId="2" xfId="0" applyFont="1" applyFill="1" applyBorder="1"/>
    <xf numFmtId="0" fontId="10" fillId="8" borderId="3" xfId="0" applyFont="1" applyFill="1" applyBorder="1"/>
    <xf numFmtId="0" fontId="10" fillId="8" borderId="1" xfId="0" applyFont="1" applyFill="1" applyBorder="1"/>
    <xf numFmtId="0" fontId="10" fillId="8" borderId="7" xfId="0" applyFont="1" applyFill="1" applyBorder="1"/>
  </cellXfs>
  <cellStyles count="2">
    <cellStyle name="Hyperlink" xfId="1" builtinId="8"/>
    <cellStyle name="Normal" xfId="0" builtinId="0"/>
  </cellStyles>
  <dxfs count="12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BDD7E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-qry.acad.ncku.edu.tw/syllabus/online_display.php?syear=0114&amp;sem=1&amp;co_no=D521300&amp;class_code=" TargetMode="External"/><Relationship Id="rId2" Type="http://schemas.openxmlformats.org/officeDocument/2006/relationships/hyperlink" Target="https://moodle.ncku.edu.tw/enrol/index.php?id=49392" TargetMode="External"/><Relationship Id="rId1" Type="http://schemas.openxmlformats.org/officeDocument/2006/relationships/hyperlink" Target="https://class-qry.acad.ncku.edu.tw/syllabus/online_display.php?syear=0114&amp;sem=1&amp;co_no=H521600&amp;class_code=" TargetMode="External"/><Relationship Id="rId6" Type="http://schemas.openxmlformats.org/officeDocument/2006/relationships/hyperlink" Target="https://moodle.ncku.edu.tw/course/view.php?id=49397" TargetMode="External"/><Relationship Id="rId5" Type="http://schemas.openxmlformats.org/officeDocument/2006/relationships/hyperlink" Target="https://class-qry.acad.ncku.edu.tw/syllabus/online_display.php?syear=0114&amp;sem=1&amp;co_no=H530120&amp;class_code=" TargetMode="External"/><Relationship Id="rId4" Type="http://schemas.openxmlformats.org/officeDocument/2006/relationships/hyperlink" Target="https://moodle.ncku.edu.tw/enrol/index.php?id=48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409A-11C7-435B-BF7E-72F505E41DAE}">
  <dimension ref="A1:L28"/>
  <sheetViews>
    <sheetView tabSelected="1" zoomScale="45" zoomScaleNormal="53" workbookViewId="0">
      <pane ySplit="3" topLeftCell="A4" activePane="bottomLeft" state="frozen"/>
      <selection activeCell="F1" sqref="F1"/>
      <selection pane="bottomLeft" activeCell="R33" sqref="R33"/>
    </sheetView>
  </sheetViews>
  <sheetFormatPr defaultRowHeight="15" x14ac:dyDescent="0.45"/>
  <cols>
    <col min="1" max="1" width="20.640625" bestFit="1" customWidth="1"/>
    <col min="2" max="6" width="41.92578125" customWidth="1"/>
    <col min="7" max="7" width="15.0703125" bestFit="1" customWidth="1"/>
    <col min="9" max="9" width="26.42578125" bestFit="1" customWidth="1"/>
    <col min="10" max="10" width="20.640625" bestFit="1" customWidth="1"/>
    <col min="11" max="11" width="17.28515625" bestFit="1" customWidth="1"/>
    <col min="12" max="12" width="17.5" customWidth="1"/>
  </cols>
  <sheetData>
    <row r="1" spans="1:12" ht="28.15" x14ac:dyDescent="0.85">
      <c r="A1" s="40" t="s">
        <v>11</v>
      </c>
      <c r="B1" s="40"/>
      <c r="C1" s="40"/>
      <c r="D1" s="40"/>
      <c r="E1" s="40"/>
      <c r="F1" s="40"/>
      <c r="G1" s="40"/>
      <c r="H1" s="2"/>
      <c r="I1" s="43" t="s">
        <v>42</v>
      </c>
      <c r="J1" s="44"/>
      <c r="K1" s="44"/>
      <c r="L1" s="45"/>
    </row>
    <row r="2" spans="1:12" ht="28.15" x14ac:dyDescent="0.85">
      <c r="A2" s="41" t="s">
        <v>12</v>
      </c>
      <c r="B2" s="41"/>
      <c r="C2" s="41"/>
      <c r="D2" s="41"/>
      <c r="E2" s="41"/>
      <c r="F2" s="41"/>
      <c r="G2" s="41"/>
      <c r="H2" s="2"/>
      <c r="I2" s="46" t="s">
        <v>43</v>
      </c>
      <c r="J2" s="47"/>
      <c r="K2" s="47"/>
      <c r="L2" s="48"/>
    </row>
    <row r="3" spans="1:12" ht="35.1" customHeight="1" x14ac:dyDescent="0.8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2"/>
      <c r="I3" s="4" t="s">
        <v>44</v>
      </c>
      <c r="J3" s="5" t="s">
        <v>9</v>
      </c>
      <c r="K3" s="49" t="s">
        <v>63</v>
      </c>
      <c r="L3" s="50"/>
    </row>
    <row r="4" spans="1:12" ht="35.1" customHeight="1" x14ac:dyDescent="0.85">
      <c r="A4" s="6" t="s">
        <v>20</v>
      </c>
      <c r="B4" s="7"/>
      <c r="C4" s="7" t="s">
        <v>24</v>
      </c>
      <c r="D4" s="7" t="s">
        <v>86</v>
      </c>
      <c r="E4" s="7"/>
      <c r="F4" s="7"/>
      <c r="G4" s="8" t="str">
        <f t="shared" ref="G4:G13" si="0">IF(COUNTA(B4:F4)=0,"✅ 空閒","📚 上課")</f>
        <v>📚 上課</v>
      </c>
      <c r="H4" s="2"/>
      <c r="I4" s="9"/>
      <c r="J4" s="5" t="s">
        <v>8</v>
      </c>
      <c r="K4" s="2" t="s">
        <v>63</v>
      </c>
      <c r="L4" s="10"/>
    </row>
    <row r="5" spans="1:12" ht="35.1" customHeight="1" x14ac:dyDescent="0.85">
      <c r="A5" s="6" t="s">
        <v>21</v>
      </c>
      <c r="B5" s="7"/>
      <c r="C5" s="7" t="s">
        <v>78</v>
      </c>
      <c r="D5" s="7" t="s">
        <v>86</v>
      </c>
      <c r="E5" s="7"/>
      <c r="F5" s="7"/>
      <c r="G5" s="8" t="str">
        <f t="shared" si="0"/>
        <v>📚 上課</v>
      </c>
      <c r="H5" s="2"/>
      <c r="I5" s="11" t="s">
        <v>45</v>
      </c>
      <c r="J5" s="5" t="s">
        <v>72</v>
      </c>
      <c r="K5" s="33" t="str">
        <f>IFERROR(VLOOKUP($K$3,課程詳情!$A$4:$H$20,2,FALSE),"請輸入有效代碼")</f>
        <v>運輸安全</v>
      </c>
      <c r="L5" s="34"/>
    </row>
    <row r="6" spans="1:12" ht="35.1" customHeight="1" x14ac:dyDescent="0.85">
      <c r="A6" s="6" t="s">
        <v>0</v>
      </c>
      <c r="B6" s="7"/>
      <c r="C6" s="7" t="s">
        <v>78</v>
      </c>
      <c r="D6" s="7" t="s">
        <v>86</v>
      </c>
      <c r="E6" s="7"/>
      <c r="F6" s="7"/>
      <c r="G6" s="8" t="str">
        <f t="shared" si="0"/>
        <v>📚 上課</v>
      </c>
      <c r="H6" s="2"/>
      <c r="I6" s="11" t="s">
        <v>46</v>
      </c>
      <c r="J6" s="5" t="s">
        <v>10</v>
      </c>
      <c r="K6" s="33" t="str">
        <f>IFERROR(VLOOKUP($K$3,課程詳情!$A$4:$H$20,3,FALSE),"-")</f>
        <v>系上必修</v>
      </c>
      <c r="L6" s="34"/>
    </row>
    <row r="7" spans="1:12" ht="35.1" customHeight="1" x14ac:dyDescent="0.85">
      <c r="A7" s="6" t="s">
        <v>1</v>
      </c>
      <c r="B7" s="7"/>
      <c r="C7" s="7" t="s">
        <v>78</v>
      </c>
      <c r="D7" s="7" t="s">
        <v>86</v>
      </c>
      <c r="E7" s="7"/>
      <c r="F7" s="7"/>
      <c r="G7" s="8" t="str">
        <f t="shared" si="0"/>
        <v>📚 上課</v>
      </c>
      <c r="H7" s="2"/>
      <c r="I7" s="11" t="s">
        <v>47</v>
      </c>
      <c r="J7" s="2" t="s">
        <v>24</v>
      </c>
      <c r="K7" s="33" t="str">
        <f>IFERROR(VLOOKUP($K$3,課程詳情!$A$4:$H$20,4,FALSE),"-")</f>
        <v>傅強 教授</v>
      </c>
      <c r="L7" s="34"/>
    </row>
    <row r="8" spans="1:12" ht="35.1" customHeight="1" x14ac:dyDescent="0.85">
      <c r="A8" s="6" t="s">
        <v>2</v>
      </c>
      <c r="B8" s="7"/>
      <c r="C8" s="7" t="s">
        <v>24</v>
      </c>
      <c r="D8" s="7" t="s">
        <v>86</v>
      </c>
      <c r="E8" s="7"/>
      <c r="F8" s="7"/>
      <c r="G8" s="8" t="str">
        <f t="shared" si="0"/>
        <v>📚 上課</v>
      </c>
      <c r="H8" s="2"/>
      <c r="I8" s="11" t="s">
        <v>48</v>
      </c>
      <c r="J8" s="2"/>
      <c r="K8" s="33" t="str">
        <f>IFERROR(VLOOKUP($K$3,課程詳情!$A$4:$H$20,5,FALSE),"-")</f>
        <v>週二 14:10-17:00</v>
      </c>
      <c r="L8" s="34"/>
    </row>
    <row r="9" spans="1:12" ht="35.1" customHeight="1" x14ac:dyDescent="0.85">
      <c r="A9" s="6" t="s">
        <v>3</v>
      </c>
      <c r="B9" s="7"/>
      <c r="C9" s="7" t="s">
        <v>24</v>
      </c>
      <c r="D9" s="7" t="s">
        <v>86</v>
      </c>
      <c r="E9" s="7"/>
      <c r="F9" s="7"/>
      <c r="G9" s="8" t="str">
        <f t="shared" si="0"/>
        <v>📚 上課</v>
      </c>
      <c r="H9" s="2"/>
      <c r="I9" s="11" t="s">
        <v>49</v>
      </c>
      <c r="J9" s="2"/>
      <c r="K9" s="33" t="str">
        <f>IFERROR(VLOOKUP($K$3,課程詳情!$A$4:$H$20,6,FALSE),"-")</f>
        <v>1141_H521600-選課的選項</v>
      </c>
      <c r="L9" s="34"/>
    </row>
    <row r="10" spans="1:12" ht="35.1" customHeight="1" x14ac:dyDescent="0.85">
      <c r="A10" s="6" t="s">
        <v>4</v>
      </c>
      <c r="B10" s="7"/>
      <c r="C10" s="7" t="s">
        <v>70</v>
      </c>
      <c r="D10" s="7" t="s">
        <v>71</v>
      </c>
      <c r="E10" s="7"/>
      <c r="F10" s="7"/>
      <c r="G10" s="8" t="str">
        <f t="shared" si="0"/>
        <v>📚 上課</v>
      </c>
      <c r="H10" s="2"/>
      <c r="I10" s="11" t="s">
        <v>50</v>
      </c>
      <c r="J10" s="2"/>
      <c r="K10" s="33" t="str">
        <f>IFERROR(VLOOKUP($K$3,課程詳情!$A$4:$H$20,7,FALSE),"-")</f>
        <v>課程大綱</v>
      </c>
      <c r="L10" s="34"/>
    </row>
    <row r="11" spans="1:12" ht="60" customHeight="1" thickBot="1" x14ac:dyDescent="0.9">
      <c r="A11" s="6" t="s">
        <v>5</v>
      </c>
      <c r="B11" s="7"/>
      <c r="C11" s="7" t="s">
        <v>70</v>
      </c>
      <c r="D11" s="7" t="s">
        <v>71</v>
      </c>
      <c r="E11" s="7"/>
      <c r="F11" s="7"/>
      <c r="G11" s="8" t="str">
        <f t="shared" si="0"/>
        <v>📚 上課</v>
      </c>
      <c r="H11" s="2"/>
      <c r="I11" s="12" t="s">
        <v>51</v>
      </c>
      <c r="J11" s="13"/>
      <c r="K11" s="35">
        <f>課表!C32</f>
        <v>0</v>
      </c>
      <c r="L11" s="36"/>
    </row>
    <row r="12" spans="1:12" ht="35.1" customHeight="1" x14ac:dyDescent="0.85">
      <c r="A12" s="6" t="s">
        <v>6</v>
      </c>
      <c r="B12" s="7"/>
      <c r="C12" s="7" t="s">
        <v>70</v>
      </c>
      <c r="D12" s="7" t="s">
        <v>71</v>
      </c>
      <c r="E12" s="7"/>
      <c r="F12" s="7"/>
      <c r="G12" s="8" t="str">
        <f t="shared" si="0"/>
        <v>📚 上課</v>
      </c>
      <c r="H12" s="2"/>
      <c r="I12" s="2"/>
      <c r="J12" s="2"/>
      <c r="K12" s="2"/>
      <c r="L12" s="2"/>
    </row>
    <row r="13" spans="1:12" ht="35.1" customHeight="1" x14ac:dyDescent="0.85">
      <c r="A13" s="6" t="s">
        <v>7</v>
      </c>
      <c r="B13" s="7"/>
      <c r="C13" s="7" t="s">
        <v>86</v>
      </c>
      <c r="D13" s="7" t="s">
        <v>86</v>
      </c>
      <c r="E13" s="7"/>
      <c r="F13" s="7"/>
      <c r="G13" s="8" t="str">
        <f t="shared" si="0"/>
        <v>📚 上課</v>
      </c>
      <c r="H13" s="2"/>
      <c r="I13" s="37" t="s">
        <v>52</v>
      </c>
      <c r="J13" s="37"/>
      <c r="K13" s="37"/>
      <c r="L13" s="37"/>
    </row>
    <row r="14" spans="1:12" ht="28.15" x14ac:dyDescent="0.85">
      <c r="A14" s="2"/>
      <c r="B14" s="2"/>
      <c r="C14" s="2"/>
      <c r="D14" s="2"/>
      <c r="E14" s="2"/>
      <c r="F14" s="2"/>
      <c r="G14" s="2"/>
      <c r="H14" s="2"/>
      <c r="I14" s="51" t="s">
        <v>53</v>
      </c>
      <c r="J14" s="51"/>
      <c r="K14" s="51"/>
      <c r="L14" s="51"/>
    </row>
    <row r="15" spans="1:12" ht="28.15" x14ac:dyDescent="0.85">
      <c r="A15" s="42" t="s">
        <v>23</v>
      </c>
      <c r="B15" s="42"/>
      <c r="C15" s="2"/>
      <c r="D15" s="52" t="s">
        <v>57</v>
      </c>
      <c r="E15" s="53"/>
      <c r="F15" s="53"/>
      <c r="G15" s="54"/>
      <c r="H15" s="2"/>
      <c r="I15" s="14" t="s">
        <v>54</v>
      </c>
      <c r="J15" s="14" t="s">
        <v>29</v>
      </c>
      <c r="K15" s="14" t="s">
        <v>31</v>
      </c>
      <c r="L15" s="14" t="s">
        <v>55</v>
      </c>
    </row>
    <row r="16" spans="1:12" ht="28.15" x14ac:dyDescent="0.85">
      <c r="A16" s="15" t="s">
        <v>9</v>
      </c>
      <c r="B16" s="16"/>
      <c r="C16" s="2"/>
      <c r="D16" s="38" t="s">
        <v>58</v>
      </c>
      <c r="E16" s="33"/>
      <c r="F16" s="33"/>
      <c r="G16" s="39"/>
      <c r="H16" s="2"/>
      <c r="I16" s="17" t="s">
        <v>14</v>
      </c>
      <c r="J16" s="8">
        <f>B24</f>
        <v>10</v>
      </c>
      <c r="K16" s="8">
        <f>B26</f>
        <v>8.3000000000000007</v>
      </c>
      <c r="L16" s="8" t="str">
        <f>IF(B24&gt;=8,"全天可用",IF(B24&gt;=5,"半天可用",IF(B24&gt;=3,"可安排2-3小時","時間有限")))</f>
        <v>全天可用</v>
      </c>
    </row>
    <row r="17" spans="1:12" ht="28.15" x14ac:dyDescent="0.85">
      <c r="A17" s="18" t="s">
        <v>8</v>
      </c>
      <c r="B17" s="16"/>
      <c r="C17" s="2"/>
      <c r="D17" s="38" t="s">
        <v>59</v>
      </c>
      <c r="E17" s="33"/>
      <c r="F17" s="33"/>
      <c r="G17" s="39"/>
      <c r="H17" s="2"/>
      <c r="I17" s="17" t="s">
        <v>15</v>
      </c>
      <c r="J17" s="8">
        <f>C24</f>
        <v>0</v>
      </c>
      <c r="K17" s="8">
        <f>C26</f>
        <v>0</v>
      </c>
      <c r="L17" s="8" t="str">
        <f>IF(C24&gt;=8,"全天可用",IF(C24&gt;=5,"半天可用",IF(C24&gt;=3,"可安排2-3小時","時間有限")))</f>
        <v>時間有限</v>
      </c>
    </row>
    <row r="18" spans="1:12" ht="28.15" x14ac:dyDescent="0.85">
      <c r="A18" s="19" t="s">
        <v>72</v>
      </c>
      <c r="B18" s="16"/>
      <c r="C18" s="2"/>
      <c r="D18" s="38" t="s">
        <v>60</v>
      </c>
      <c r="E18" s="33"/>
      <c r="F18" s="33"/>
      <c r="G18" s="39"/>
      <c r="H18" s="2"/>
      <c r="I18" s="17" t="s">
        <v>16</v>
      </c>
      <c r="J18" s="8">
        <f>D24</f>
        <v>0</v>
      </c>
      <c r="K18" s="8">
        <f>D26</f>
        <v>0</v>
      </c>
      <c r="L18" s="8" t="str">
        <f>IF(D24&gt;=8,"全天可用",IF(D24&gt;=5,"半天可用",IF(D24&gt;=3,"可安排2-3小時","時間有限")))</f>
        <v>時間有限</v>
      </c>
    </row>
    <row r="19" spans="1:12" ht="28.15" x14ac:dyDescent="0.85">
      <c r="A19" s="20" t="s">
        <v>10</v>
      </c>
      <c r="B19" s="16"/>
      <c r="C19" s="2"/>
      <c r="D19" s="38" t="s">
        <v>61</v>
      </c>
      <c r="E19" s="33"/>
      <c r="F19" s="33"/>
      <c r="G19" s="39"/>
      <c r="H19" s="2"/>
      <c r="I19" s="17" t="s">
        <v>17</v>
      </c>
      <c r="J19" s="8">
        <f>E24</f>
        <v>10</v>
      </c>
      <c r="K19" s="8">
        <f>E26</f>
        <v>8.3000000000000007</v>
      </c>
      <c r="L19" s="8" t="str">
        <f>IF(E24&gt;=8,"全天可用",IF(E24&gt;=5,"半天可用",IF(E24&gt;=3,"可安排2-3小時","時間有限")))</f>
        <v>全天可用</v>
      </c>
    </row>
    <row r="20" spans="1:12" ht="28.15" x14ac:dyDescent="0.85">
      <c r="A20" s="21" t="s">
        <v>24</v>
      </c>
      <c r="B20" s="16" t="s">
        <v>25</v>
      </c>
      <c r="C20" s="2"/>
      <c r="D20" s="30" t="s">
        <v>62</v>
      </c>
      <c r="E20" s="31"/>
      <c r="F20" s="31"/>
      <c r="G20" s="32"/>
      <c r="H20" s="2"/>
      <c r="I20" s="17" t="s">
        <v>18</v>
      </c>
      <c r="J20" s="8">
        <f>F24</f>
        <v>10</v>
      </c>
      <c r="K20" s="8">
        <f>F26</f>
        <v>8.3000000000000007</v>
      </c>
      <c r="L20" s="8" t="str">
        <f>IF(F24&gt;=8,"全天可用",IF(F24&gt;=5,"半天可用",IF(F24&gt;=3,"可安排2-3小時","時間有限")))</f>
        <v>全天可用</v>
      </c>
    </row>
    <row r="21" spans="1:12" ht="28.15" x14ac:dyDescent="0.85">
      <c r="A21" s="2"/>
      <c r="B21" s="2"/>
      <c r="C21" s="2"/>
      <c r="D21" s="2"/>
      <c r="E21" s="2"/>
      <c r="F21" s="2"/>
      <c r="G21" s="2"/>
      <c r="H21" s="2"/>
      <c r="I21" s="22" t="s">
        <v>56</v>
      </c>
      <c r="J21" s="23">
        <f>SUM(J16:J20)</f>
        <v>30</v>
      </c>
      <c r="K21" s="23">
        <f>SUM(K16:K20)</f>
        <v>24.900000000000002</v>
      </c>
      <c r="L21" s="23" t="str">
        <f>IF(K21&gt;=30,"時間充裕",IF(K21&gt;=20,"時間適中","需妥善安排"))</f>
        <v>時間適中</v>
      </c>
    </row>
    <row r="22" spans="1:12" ht="28.15" x14ac:dyDescent="0.85">
      <c r="A22" s="29" t="s">
        <v>26</v>
      </c>
      <c r="B22" s="29"/>
      <c r="C22" s="29"/>
      <c r="D22" s="29"/>
      <c r="E22" s="29"/>
      <c r="F22" s="29"/>
      <c r="G22" s="29"/>
      <c r="H22" s="2"/>
      <c r="I22" s="2"/>
      <c r="J22" s="2"/>
      <c r="K22" s="2"/>
      <c r="L22" s="2"/>
    </row>
    <row r="23" spans="1:12" ht="28.15" x14ac:dyDescent="0.85">
      <c r="A23" s="24" t="s">
        <v>27</v>
      </c>
      <c r="B23" s="24" t="s">
        <v>14</v>
      </c>
      <c r="C23" s="24" t="s">
        <v>15</v>
      </c>
      <c r="D23" s="24" t="s">
        <v>16</v>
      </c>
      <c r="E23" s="24" t="s">
        <v>17</v>
      </c>
      <c r="F23" s="24" t="s">
        <v>18</v>
      </c>
      <c r="G23" s="24" t="s">
        <v>28</v>
      </c>
      <c r="H23" s="2"/>
      <c r="I23" s="2"/>
      <c r="J23" s="2"/>
      <c r="K23" s="2"/>
      <c r="L23" s="2"/>
    </row>
    <row r="24" spans="1:12" ht="28.15" x14ac:dyDescent="0.85">
      <c r="A24" s="17" t="s">
        <v>29</v>
      </c>
      <c r="B24" s="8">
        <f>COUNTBLANK(B4:B13)</f>
        <v>10</v>
      </c>
      <c r="C24" s="8">
        <f>COUNTBLANK(C4:C13)</f>
        <v>0</v>
      </c>
      <c r="D24" s="8">
        <f>COUNTBLANK(D4:D13)</f>
        <v>0</v>
      </c>
      <c r="E24" s="8">
        <f>COUNTBLANK(E4:E13)</f>
        <v>10</v>
      </c>
      <c r="F24" s="8">
        <f>COUNTBLANK(F4:F13)</f>
        <v>10</v>
      </c>
      <c r="G24" s="6">
        <f>SUM(B25:F25)</f>
        <v>20</v>
      </c>
      <c r="H24" s="2"/>
      <c r="I24" s="2"/>
      <c r="J24" s="2"/>
      <c r="K24" s="2"/>
      <c r="L24" s="2"/>
    </row>
    <row r="25" spans="1:12" ht="28.15" x14ac:dyDescent="0.85">
      <c r="A25" s="17" t="s">
        <v>30</v>
      </c>
      <c r="B25" s="8">
        <f>COUNTA(B4:B13)</f>
        <v>0</v>
      </c>
      <c r="C25" s="8">
        <f>COUNTA(C4:C13)</f>
        <v>10</v>
      </c>
      <c r="D25" s="8">
        <f>COUNTA(D4:D13)</f>
        <v>10</v>
      </c>
      <c r="E25" s="8">
        <f>COUNTA(E4:E13)</f>
        <v>0</v>
      </c>
      <c r="F25" s="8">
        <f>COUNTA(F4:F13)</f>
        <v>0</v>
      </c>
      <c r="G25" s="6">
        <f>SUM(B26:F26)</f>
        <v>24.900000000000002</v>
      </c>
      <c r="H25" s="2"/>
      <c r="I25" s="2"/>
      <c r="J25" s="2"/>
      <c r="K25" s="2"/>
      <c r="L25" s="2"/>
    </row>
    <row r="26" spans="1:12" ht="28.15" x14ac:dyDescent="0.85">
      <c r="A26" s="17" t="s">
        <v>31</v>
      </c>
      <c r="B26" s="8">
        <f t="shared" ref="B26:G26" si="1">ROUND(B24*50/60,1)</f>
        <v>8.3000000000000007</v>
      </c>
      <c r="C26" s="8">
        <f t="shared" si="1"/>
        <v>0</v>
      </c>
      <c r="D26" s="8">
        <f t="shared" si="1"/>
        <v>0</v>
      </c>
      <c r="E26" s="8">
        <f t="shared" si="1"/>
        <v>8.3000000000000007</v>
      </c>
      <c r="F26" s="8">
        <f t="shared" si="1"/>
        <v>8.3000000000000007</v>
      </c>
      <c r="G26" s="6">
        <f t="shared" si="1"/>
        <v>16.7</v>
      </c>
      <c r="H26" s="2"/>
      <c r="I26" s="2"/>
      <c r="J26" s="2"/>
      <c r="K26" s="2"/>
      <c r="L26" s="2"/>
    </row>
    <row r="27" spans="1:12" ht="28.15" x14ac:dyDescent="0.85">
      <c r="A27" s="17" t="s">
        <v>32</v>
      </c>
      <c r="B27" s="25">
        <f>B24/10</f>
        <v>1</v>
      </c>
      <c r="C27" s="25">
        <f>C24/10</f>
        <v>0</v>
      </c>
      <c r="D27" s="25">
        <f>D24/10</f>
        <v>0</v>
      </c>
      <c r="E27" s="25">
        <f>E24/10</f>
        <v>1</v>
      </c>
      <c r="F27" s="25">
        <f>F24/10</f>
        <v>1</v>
      </c>
      <c r="G27" s="26">
        <f>G24/50</f>
        <v>0.4</v>
      </c>
      <c r="H27" s="2"/>
      <c r="I27" s="2"/>
      <c r="J27" s="2"/>
      <c r="K27" s="2"/>
      <c r="L27" s="2"/>
    </row>
    <row r="28" spans="1:12" ht="28.15" x14ac:dyDescent="0.8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</sheetData>
  <mergeCells count="22">
    <mergeCell ref="A1:G1"/>
    <mergeCell ref="A2:G2"/>
    <mergeCell ref="A15:B15"/>
    <mergeCell ref="I1:L1"/>
    <mergeCell ref="I2:L2"/>
    <mergeCell ref="K3:L3"/>
    <mergeCell ref="K5:L5"/>
    <mergeCell ref="K6:L6"/>
    <mergeCell ref="K7:L7"/>
    <mergeCell ref="I14:L14"/>
    <mergeCell ref="D15:G15"/>
    <mergeCell ref="A22:G22"/>
    <mergeCell ref="D20:G20"/>
    <mergeCell ref="K8:L8"/>
    <mergeCell ref="K9:L9"/>
    <mergeCell ref="K10:L10"/>
    <mergeCell ref="K11:L11"/>
    <mergeCell ref="I13:L13"/>
    <mergeCell ref="D19:G19"/>
    <mergeCell ref="D16:G16"/>
    <mergeCell ref="D17:G17"/>
    <mergeCell ref="D18:G18"/>
  </mergeCells>
  <phoneticPr fontId="1" type="noConversion"/>
  <conditionalFormatting sqref="B4:F13">
    <cfRule type="containsText" dxfId="11" priority="14" operator="containsText" text="系上必修">
      <formula>NOT(ISERROR(SEARCH("系上必修",B4)))</formula>
    </cfRule>
    <cfRule type="containsText" dxfId="10" priority="15" operator="containsText" text="系上選修">
      <formula>NOT(ISERROR(SEARCH("系上選修",B4)))</formula>
    </cfRule>
    <cfRule type="containsText" dxfId="9" priority="16" operator="containsText" text="系外必選修">
      <formula>NOT(ISERROR(SEARCH("系外必選修",B4)))</formula>
    </cfRule>
    <cfRule type="containsText" dxfId="8" priority="17" operator="containsText" text="通識課">
      <formula>NOT(ISERROR(SEARCH("通識課",B4)))</formula>
    </cfRule>
    <cfRule type="containsText" dxfId="7" priority="18" operator="containsText" text="空白">
      <formula>NOT(ISERROR(SEARCH("空白",B4)))</formula>
    </cfRule>
  </conditionalFormatting>
  <conditionalFormatting sqref="L16:L20">
    <cfRule type="containsText" dxfId="6" priority="11" operator="containsText" text="全天可用">
      <formula>NOT(ISERROR(SEARCH("全天可用",L16)))</formula>
    </cfRule>
    <cfRule type="containsText" dxfId="5" priority="12" operator="containsText" text="半天可用">
      <formula>NOT(ISERROR(SEARCH("半天可用",L16)))</formula>
    </cfRule>
    <cfRule type="containsText" dxfId="4" priority="13" operator="containsText" text="時間有限">
      <formula>NOT(ISERROR(SEARCH("時間有限",L16)))</formula>
    </cfRule>
  </conditionalFormatting>
  <dataValidations count="1">
    <dataValidation type="list" allowBlank="1" showInputMessage="1" sqref="B4:F13" xr:uid="{51375922-24A6-48C0-95CA-D5F6E24517A8}">
      <formula1>"系上必修,系上選修,系外必選修,通識課,空白"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D64C-C86F-44D6-9DD2-9DE62DC58A62}">
  <dimension ref="A1:H20"/>
  <sheetViews>
    <sheetView zoomScale="48" workbookViewId="0">
      <selection activeCell="E38" sqref="E38"/>
    </sheetView>
  </sheetViews>
  <sheetFormatPr defaultRowHeight="15" x14ac:dyDescent="0.45"/>
  <cols>
    <col min="1" max="1" width="17.140625" bestFit="1" customWidth="1"/>
    <col min="2" max="3" width="20.78515625" bestFit="1" customWidth="1"/>
    <col min="4" max="4" width="21.78515625" bestFit="1" customWidth="1"/>
    <col min="5" max="5" width="28" bestFit="1" customWidth="1"/>
    <col min="6" max="6" width="44.85546875" bestFit="1" customWidth="1"/>
    <col min="7" max="7" width="25.28515625" bestFit="1" customWidth="1"/>
    <col min="8" max="8" width="147.0703125" bestFit="1" customWidth="1"/>
  </cols>
  <sheetData>
    <row r="1" spans="1:8" ht="28.15" x14ac:dyDescent="0.85">
      <c r="A1" s="40" t="s">
        <v>33</v>
      </c>
      <c r="B1" s="40"/>
      <c r="C1" s="40"/>
      <c r="D1" s="40"/>
      <c r="E1" s="40"/>
      <c r="F1" s="40"/>
      <c r="G1" s="40"/>
      <c r="H1" s="40"/>
    </row>
    <row r="2" spans="1:8" ht="28.15" x14ac:dyDescent="0.85">
      <c r="A2" s="41" t="s">
        <v>34</v>
      </c>
      <c r="B2" s="41"/>
      <c r="C2" s="41"/>
      <c r="D2" s="41"/>
      <c r="E2" s="41"/>
      <c r="F2" s="41"/>
      <c r="G2" s="41"/>
      <c r="H2" s="41"/>
    </row>
    <row r="3" spans="1:8" ht="30" customHeight="1" x14ac:dyDescent="0.85">
      <c r="A3" s="3" t="s">
        <v>35</v>
      </c>
      <c r="B3" s="3" t="s">
        <v>36</v>
      </c>
      <c r="C3" s="3" t="s">
        <v>22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</row>
    <row r="4" spans="1:8" ht="28.15" x14ac:dyDescent="0.85">
      <c r="A4" s="16" t="s">
        <v>63</v>
      </c>
      <c r="B4" s="16" t="s">
        <v>64</v>
      </c>
      <c r="C4" s="16" t="s">
        <v>9</v>
      </c>
      <c r="D4" s="16" t="s">
        <v>65</v>
      </c>
      <c r="E4" s="16" t="s">
        <v>66</v>
      </c>
      <c r="F4" s="27" t="s">
        <v>69</v>
      </c>
      <c r="G4" s="27" t="s">
        <v>67</v>
      </c>
      <c r="H4" s="16" t="s">
        <v>68</v>
      </c>
    </row>
    <row r="5" spans="1:8" ht="28.15" x14ac:dyDescent="0.85">
      <c r="A5" s="16" t="s">
        <v>77</v>
      </c>
      <c r="B5" s="16" t="s">
        <v>79</v>
      </c>
      <c r="C5" s="16" t="s">
        <v>72</v>
      </c>
      <c r="D5" s="16" t="s">
        <v>73</v>
      </c>
      <c r="E5" s="16" t="s">
        <v>75</v>
      </c>
      <c r="F5" s="27" t="s">
        <v>76</v>
      </c>
      <c r="G5" s="27" t="s">
        <v>67</v>
      </c>
      <c r="H5" s="16" t="s">
        <v>74</v>
      </c>
    </row>
    <row r="6" spans="1:8" ht="28.15" x14ac:dyDescent="0.85">
      <c r="A6" s="16" t="s">
        <v>84</v>
      </c>
      <c r="B6" s="16" t="s">
        <v>80</v>
      </c>
      <c r="C6" s="16" t="s">
        <v>8</v>
      </c>
      <c r="D6" s="16" t="s">
        <v>81</v>
      </c>
      <c r="E6" s="16" t="s">
        <v>82</v>
      </c>
      <c r="F6" s="27" t="s">
        <v>85</v>
      </c>
      <c r="G6" s="27" t="s">
        <v>67</v>
      </c>
      <c r="H6" s="16" t="s">
        <v>83</v>
      </c>
    </row>
    <row r="7" spans="1:8" ht="28.15" x14ac:dyDescent="0.85">
      <c r="A7" s="16"/>
      <c r="B7" s="16"/>
      <c r="C7" s="16"/>
      <c r="D7" s="16"/>
      <c r="E7" s="16"/>
      <c r="F7" s="28"/>
      <c r="G7" s="28"/>
      <c r="H7" s="16"/>
    </row>
    <row r="8" spans="1:8" ht="28.15" x14ac:dyDescent="0.85">
      <c r="A8" s="16"/>
      <c r="B8" s="16"/>
      <c r="C8" s="16"/>
      <c r="D8" s="16"/>
      <c r="E8" s="16"/>
      <c r="F8" s="28"/>
      <c r="G8" s="28"/>
      <c r="H8" s="16"/>
    </row>
    <row r="9" spans="1:8" ht="28.15" x14ac:dyDescent="0.85">
      <c r="A9" s="16"/>
      <c r="B9" s="16"/>
      <c r="C9" s="16"/>
      <c r="D9" s="16"/>
      <c r="E9" s="16"/>
      <c r="F9" s="28"/>
      <c r="G9" s="28"/>
      <c r="H9" s="16"/>
    </row>
    <row r="10" spans="1:8" ht="28.15" x14ac:dyDescent="0.85">
      <c r="A10" s="16"/>
      <c r="B10" s="16"/>
      <c r="C10" s="16"/>
      <c r="D10" s="16"/>
      <c r="E10" s="16"/>
      <c r="F10" s="28"/>
      <c r="G10" s="28"/>
      <c r="H10" s="16"/>
    </row>
    <row r="11" spans="1:8" ht="28.15" x14ac:dyDescent="0.85">
      <c r="A11" s="16"/>
      <c r="B11" s="16"/>
      <c r="C11" s="16"/>
      <c r="D11" s="16"/>
      <c r="E11" s="16"/>
      <c r="F11" s="28"/>
      <c r="G11" s="28"/>
      <c r="H11" s="16"/>
    </row>
    <row r="12" spans="1:8" ht="28.15" x14ac:dyDescent="0.85">
      <c r="A12" s="16"/>
      <c r="B12" s="16"/>
      <c r="C12" s="16"/>
      <c r="D12" s="16"/>
      <c r="E12" s="16"/>
      <c r="F12" s="28"/>
      <c r="G12" s="28"/>
      <c r="H12" s="16"/>
    </row>
    <row r="13" spans="1:8" ht="28.15" x14ac:dyDescent="0.85">
      <c r="A13" s="16"/>
      <c r="B13" s="16"/>
      <c r="C13" s="16"/>
      <c r="D13" s="16"/>
      <c r="E13" s="16"/>
      <c r="F13" s="28"/>
      <c r="G13" s="28"/>
      <c r="H13" s="16"/>
    </row>
    <row r="14" spans="1:8" x14ac:dyDescent="0.45">
      <c r="F14" s="1"/>
      <c r="G14" s="1"/>
    </row>
    <row r="15" spans="1:8" x14ac:dyDescent="0.45">
      <c r="F15" s="1"/>
      <c r="G15" s="1"/>
    </row>
    <row r="16" spans="1:8" x14ac:dyDescent="0.45">
      <c r="F16" s="1"/>
      <c r="G16" s="1"/>
    </row>
    <row r="17" spans="6:7" x14ac:dyDescent="0.45">
      <c r="F17" s="1"/>
      <c r="G17" s="1"/>
    </row>
    <row r="18" spans="6:7" x14ac:dyDescent="0.45">
      <c r="F18" s="1"/>
      <c r="G18" s="1"/>
    </row>
    <row r="19" spans="6:7" x14ac:dyDescent="0.45">
      <c r="F19" s="1"/>
      <c r="G19" s="1"/>
    </row>
    <row r="20" spans="6:7" x14ac:dyDescent="0.45">
      <c r="F20" s="1"/>
      <c r="G20" s="1"/>
    </row>
  </sheetData>
  <mergeCells count="2">
    <mergeCell ref="A1:H1"/>
    <mergeCell ref="A2:H2"/>
  </mergeCells>
  <conditionalFormatting sqref="C4:C13">
    <cfRule type="containsText" dxfId="3" priority="1" operator="containsText" text="系上必修">
      <formula>NOT(ISERROR(SEARCH("系上必修",C4)))</formula>
    </cfRule>
    <cfRule type="containsText" dxfId="2" priority="2" operator="containsText" text="系上選修">
      <formula>NOT(ISERROR(SEARCH("系上選修",C4)))</formula>
    </cfRule>
    <cfRule type="containsText" dxfId="1" priority="3" operator="containsText" text="系外必選修">
      <formula>NOT(ISERROR(SEARCH("系外必選修",C4)))</formula>
    </cfRule>
    <cfRule type="containsText" dxfId="0" priority="4" operator="containsText" text="通識課">
      <formula>NOT(ISERROR(SEARCH("通識課",C4)))</formula>
    </cfRule>
  </conditionalFormatting>
  <dataValidations count="2">
    <dataValidation type="list" allowBlank="1" showInputMessage="1" showErrorMessage="1" sqref="C14:C20" xr:uid="{1E2DBDD6-9728-4DC7-AC3C-5AD7FC7DC132}">
      <formula1>"系上必修,系上選修,系外必修,系外選修,通識課"</formula1>
    </dataValidation>
    <dataValidation type="list" allowBlank="1" showInputMessage="1" sqref="C4:C13" xr:uid="{A5E5204E-FE34-4D60-903C-D35CC2B5557F}">
      <formula1>"系上必修,系上選修,系外必選修,通識課"</formula1>
    </dataValidation>
  </dataValidations>
  <hyperlinks>
    <hyperlink ref="G4" r:id="rId1" display="https://class-qry.acad.ncku.edu.tw/syllabus/online_display.php?syear=0114&amp;sem=1&amp;co_no=H521600&amp;class_code=" xr:uid="{AC066FE6-ED2F-4476-BA7A-2103106FB3B9}"/>
    <hyperlink ref="F4" r:id="rId2" display="https://moodle.ncku.edu.tw/enrol/index.php?id=49392" xr:uid="{FF19163F-1D74-4E07-A3C9-1C6AFC077C24}"/>
    <hyperlink ref="G5" r:id="rId3" display="https://class-qry.acad.ncku.edu.tw/syllabus/online_display.php?syear=0114&amp;sem=1&amp;co_no=D521300&amp;class_code=" xr:uid="{E81DF923-CAAB-45C9-BB6E-2600362D8F73}"/>
    <hyperlink ref="F5" r:id="rId4" display="https://moodle.ncku.edu.tw/enrol/index.php?id=48601" xr:uid="{49D8389A-3C77-435D-880A-10F8339D3DEC}"/>
    <hyperlink ref="G6" r:id="rId5" display="https://class-qry.acad.ncku.edu.tw/syllabus/online_display.php?syear=0114&amp;sem=1&amp;co_no=H530120&amp;class_code=" xr:uid="{6A6A2BDE-3716-4BE7-BB77-88FA59284F80}"/>
    <hyperlink ref="F6" r:id="rId6" display="https://moodle.ncku.edu.tw/course/view.php?id=49397" xr:uid="{366DEC8A-2B21-4764-842F-9D4A0E2F6F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課表</vt:lpstr>
      <vt:lpstr>課程詳情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心語 溫</dc:creator>
  <cp:lastModifiedBy>心語 溫</cp:lastModifiedBy>
  <dcterms:created xsi:type="dcterms:W3CDTF">2026-04-17T14:30:28Z</dcterms:created>
  <dcterms:modified xsi:type="dcterms:W3CDTF">2026-04-19T09:10:01Z</dcterms:modified>
</cp:coreProperties>
</file>